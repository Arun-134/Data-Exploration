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f41cd74e148edc7/Desktop/ARUN/New folder/FNB16/Excel assigment 1/"/>
    </mc:Choice>
  </mc:AlternateContent>
  <xr:revisionPtr revIDLastSave="174" documentId="11_59F45F1C8577BFD6CADA46B1113032D84A6A4243" xr6:coauthVersionLast="47" xr6:coauthVersionMax="47" xr10:uidLastSave="{72F4373A-44BF-4369-BC0C-D0E71D25C68E}"/>
  <bookViews>
    <workbookView xWindow="-108" yWindow="-108" windowWidth="23256" windowHeight="12456" xr2:uid="{00000000-000D-0000-FFFF-FFFF00000000}"/>
  </bookViews>
  <sheets>
    <sheet name="Results" sheetId="1" r:id="rId1"/>
  </sheets>
  <definedNames>
    <definedName name="_xlnm._FilterDatabase" localSheetId="0" hidden="1">Results!$A$1:$F$35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2" i="1"/>
  <c r="R25" i="1"/>
  <c r="R21" i="1"/>
  <c r="G2" i="1" a="1"/>
  <c r="G2" i="1" s="1"/>
  <c r="G3" i="1" a="1"/>
  <c r="G3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 s="1"/>
  <c r="G10" i="1" a="1"/>
  <c r="G10" i="1" s="1"/>
  <c r="G11" i="1" a="1"/>
  <c r="G11" i="1" s="1"/>
  <c r="G12" i="1" a="1"/>
  <c r="G12" i="1" s="1"/>
  <c r="G13" i="1" a="1"/>
  <c r="G13" i="1" s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 s="1"/>
  <c r="G27" i="1" a="1"/>
  <c r="G27" i="1" s="1"/>
  <c r="G28" i="1" a="1"/>
  <c r="G28" i="1" s="1"/>
  <c r="G29" i="1" a="1"/>
  <c r="G29" i="1" s="1"/>
  <c r="G30" i="1" a="1"/>
  <c r="G30" i="1" s="1"/>
  <c r="G31" i="1" a="1"/>
  <c r="G31" i="1" s="1"/>
  <c r="G32" i="1" a="1"/>
  <c r="G32" i="1" s="1"/>
  <c r="G33" i="1" a="1"/>
  <c r="G33" i="1" s="1"/>
  <c r="G34" i="1" a="1"/>
  <c r="G34" i="1" s="1"/>
  <c r="G35" i="1" a="1"/>
  <c r="G35" i="1" s="1"/>
  <c r="N25" i="1"/>
  <c r="N21" i="1"/>
  <c r="N14" i="1"/>
  <c r="N10" i="1"/>
  <c r="N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<sst xmlns="http://schemas.openxmlformats.org/spreadsheetml/2006/main" count="194" uniqueCount="130">
  <si>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</si>
  <si>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</si>
  <si>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</si>
  <si>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</si>
  <si>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</si>
  <si>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</si>
  <si>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</si>
  <si>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</si>
  <si>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</si>
  <si>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</si>
  <si>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</si>
  <si>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</si>
  <si>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</si>
  <si>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</si>
  <si>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</si>
  <si>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</si>
  <si>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</si>
  <si>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</si>
  <si>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</si>
  <si>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</si>
  <si>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</si>
  <si>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</si>
  <si>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</si>
  <si>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</si>
  <si>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</si>
  <si>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</si>
  <si>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</si>
  <si>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</si>
  <si>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</si>
  <si>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</si>
  <si>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</si>
  <si>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</si>
  <si>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</si>
  <si>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</si>
  <si>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</si>
  <si>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</si>
  <si>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</si>
  <si>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</si>
  <si>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</si>
  <si>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</si>
  <si>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</si>
  <si>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</si>
  <si>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</si>
  <si>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</si>
  <si>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</si>
  <si>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</si>
  <si>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</si>
  <si>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</si>
  <si>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</si>
  <si>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</si>
  <si>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</si>
  <si>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</si>
  <si>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</si>
  <si>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</si>
  <si>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</si>
  <si>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</si>
  <si>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</si>
  <si>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</si>
  <si>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</si>
  <si>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</si>
  <si>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</si>
  <si>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</si>
  <si>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</si>
  <si>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</si>
  <si>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</si>
  <si>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</si>
  <si>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</si>
  <si>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</si>
  <si>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</si>
  <si>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</si>
  <si>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</si>
  <si>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</si>
  <si>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</si>
  <si>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</si>
  <si>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</si>
  <si>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</si>
  <si>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</si>
  <si>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</si>
  <si>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</si>
  <si>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</si>
  <si>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</si>
  <si>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</si>
  <si>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</si>
  <si>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</si>
  <si>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</si>
  <si>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</si>
  <si>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</si>
  <si>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</si>
  <si>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</si>
  <si>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</si>
  <si>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</si>
  <si>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</si>
  <si>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</si>
  <si>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Calculate the total price of all products in the dataset.</t>
  </si>
  <si>
    <t>Formula</t>
  </si>
  <si>
    <t>Result</t>
  </si>
  <si>
    <t>SUM(D2:D35)</t>
  </si>
  <si>
    <t>Determine how many products exist in the dataset.</t>
  </si>
  <si>
    <t>COUNT(B2:B35)</t>
  </si>
  <si>
    <t>Calculate the average price of the products</t>
  </si>
  <si>
    <t>AVERAGE(D2:D35)</t>
  </si>
  <si>
    <t>1. Sum, Count, and Average</t>
  </si>
  <si>
    <t>2. Minimum and Maximum Values</t>
  </si>
  <si>
    <t>Identify the minimum price among all products.</t>
  </si>
  <si>
    <t>Identify the maximum price among all products.</t>
  </si>
  <si>
    <t>MIN(D2:D35)</t>
  </si>
  <si>
    <t>MAX(D2:D35)</t>
  </si>
  <si>
    <t>3. Logical Function – IF</t>
  </si>
  <si>
    <t>If Price ≥ $500 → classify as High Price</t>
  </si>
  <si>
    <t>If Price &lt; $500 → classify as Standard Price</t>
  </si>
  <si>
    <t>Price Range</t>
  </si>
  <si>
    <t>Formula 1</t>
  </si>
  <si>
    <t>Formula 2</t>
  </si>
  <si>
    <t>IFS(D2&gt;=500, "High Price", D2&lt;500, "standard Price")</t>
  </si>
  <si>
    <t>IF(D2&gt;=500, "High Price", Standard Price")</t>
  </si>
  <si>
    <t>4. Conditional Functions – SUMIF and COUNTIF</t>
  </si>
  <si>
    <t>Use the SUMIF function to calculate the total price of products in the Electronics category.</t>
  </si>
  <si>
    <t>SUMIF(F2:F35, "Electronics", D2:D35)</t>
  </si>
  <si>
    <t>Use the COUNTIF function to determine the number of products with a price less than $100.</t>
  </si>
  <si>
    <t>COUNTIF(D2:D35, "&lt;100")</t>
  </si>
  <si>
    <t>Day</t>
  </si>
  <si>
    <t>Create a new column named Day with the first 2 characters of each 'Product ID' using the LEFT function.</t>
  </si>
  <si>
    <t>Create a new column named Country Code by extracting the last 2 characters from the 'Product ID' column using the RIGHT function.</t>
  </si>
  <si>
    <t>Create a new column named Month by extracting the 4th to 6th characters from the 'Product ID' column using the MID function.</t>
  </si>
  <si>
    <t>Left(A2,2)</t>
  </si>
  <si>
    <t>Right(A2,2)</t>
  </si>
  <si>
    <t>Country Code</t>
  </si>
  <si>
    <t>Month</t>
  </si>
  <si>
    <t>Mid(A2,4,3)</t>
  </si>
  <si>
    <t>5. Text Formatting – LEFT, RIGHT,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</si>
</sst>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0" borderId="1" xfId="0" applyFont="1" applyBorder="1"/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3" fillId="5" borderId="0" xfId="0" applyFont="1" applyFill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workbookViewId="0">
      <selection activeCell="R27" sqref="R27"/>
    </sheetView>
  </sheetViews>
  <sheetFormatPr defaultColWidth="12.6640625" defaultRowHeight="15" customHeight="1" x14ac:dyDescent="0.25"/>
  <cols>
    <col min="2" max="2" width="14.109375" customWidth="1"/>
    <col min="7" max="7" width="13.33203125" bestFit="1" customWidth="1"/>
    <col min="13" max="13" width="43.109375" bestFit="1" customWidth="1"/>
    <col min="14" max="14" width="17.44140625" bestFit="1" customWidth="1"/>
    <col min="17" max="17" width="43.21875" bestFit="1" customWidth="1"/>
    <col min="18" max="18" width="50.33203125" customWidth="1"/>
    <col min="21" max="21" width="35.44140625" bestFit="1" customWidth="1"/>
    <col min="22" max="22" width="87.88671875" customWidth="1"/>
  </cols>
  <sheetData>
    <row r="1" spans="1:2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110</v>
      </c>
      <c r="H1" s="6" t="s">
        <v>120</v>
      </c>
      <c r="I1" s="6" t="s">
        <v>126</v>
      </c>
      <c r="J1" s="6" t="s">
        <v>127</v>
      </c>
    </row>
    <row r="2" spans="1:22" ht="15.75" customHeight="1" x14ac:dyDescent="0.2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  <c r="G2" s="4" t="str" cm="1">
        <f t="array" ref="G2">_xlfn.IFS(D2&gt;=500, "High Price",D2&lt;500, "Standard Price")</f>
        <v>High Price</v>
      </c>
      <c r="H2" s="5" t="str">
        <f>LEFT(A2,2)</f>
        <v>28</v>
      </c>
      <c r="I2" s="5" t="str">
        <f>RIGHT(A2,2)</f>
        <v>US</v>
      </c>
      <c r="J2" s="5" t="str">
        <f>MID(A2,4,3)</f>
        <v>JAN</v>
      </c>
      <c r="M2" s="7" t="s">
        <v>101</v>
      </c>
      <c r="Q2" s="7" t="s">
        <v>107</v>
      </c>
      <c r="U2" s="7" t="s">
        <v>129</v>
      </c>
    </row>
    <row r="3" spans="1:22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4" t="str" cm="1">
        <f t="array" ref="G3">_xlfn.IFS(D3&gt;=500, "High Price",D3&lt;500, "Standard Price")</f>
        <v>Standard Price</v>
      </c>
      <c r="H3" s="5" t="str">
        <f t="shared" ref="H3:H35" si="0">LEFT(A3,2)</f>
        <v>15</v>
      </c>
      <c r="I3" s="5" t="str">
        <f t="shared" ref="I3:I35" si="1">RIGHT(A3,2)</f>
        <v>US</v>
      </c>
      <c r="J3" s="5" t="str">
        <f t="shared" ref="J3:J35" si="2">MID(A3,4,3)</f>
        <v>FEB</v>
      </c>
    </row>
    <row r="4" spans="1:22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4" t="str" cm="1">
        <f t="array" ref="G4">_xlfn.IFS(D4&gt;=500, "High Price",D4&lt;500, "Standard Price")</f>
        <v>Standard Price</v>
      </c>
      <c r="H4" s="5" t="str">
        <f t="shared" si="0"/>
        <v>03</v>
      </c>
      <c r="I4" s="5" t="str">
        <f t="shared" si="1"/>
        <v>US</v>
      </c>
      <c r="J4" s="5" t="str">
        <f t="shared" si="2"/>
        <v>MAR</v>
      </c>
      <c r="M4" s="11" t="s">
        <v>93</v>
      </c>
      <c r="N4" s="11"/>
      <c r="Q4" s="11" t="s">
        <v>108</v>
      </c>
      <c r="R4" s="11"/>
      <c r="U4" s="11" t="s">
        <v>121</v>
      </c>
      <c r="V4" s="11"/>
    </row>
    <row r="5" spans="1:22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s="4" t="str" cm="1">
        <f t="array" ref="G5">_xlfn.IFS(D5&gt;=500, "High Price",D5&lt;500, "Standard Price")</f>
        <v>High Price</v>
      </c>
      <c r="H5" s="5" t="str">
        <f t="shared" si="0"/>
        <v>11</v>
      </c>
      <c r="I5" s="5" t="str">
        <f t="shared" si="1"/>
        <v>US</v>
      </c>
      <c r="J5" s="5" t="str">
        <f t="shared" si="2"/>
        <v>APR</v>
      </c>
      <c r="M5" s="8" t="s">
        <v>94</v>
      </c>
      <c r="N5" s="8" t="s">
        <v>96</v>
      </c>
      <c r="Q5" s="11" t="s">
        <v>109</v>
      </c>
      <c r="R5" s="11"/>
      <c r="U5" s="8" t="s">
        <v>94</v>
      </c>
      <c r="V5" s="8" t="s">
        <v>124</v>
      </c>
    </row>
    <row r="6" spans="1:22" ht="15.75" customHeight="1" x14ac:dyDescent="0.2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G6" s="4" t="str" cm="1">
        <f t="array" ref="G6">_xlfn.IFS(D6&gt;=500, "High Price",D6&lt;500, "Standard Price")</f>
        <v>Standard Price</v>
      </c>
      <c r="H6" s="5" t="str">
        <f t="shared" si="0"/>
        <v>22</v>
      </c>
      <c r="I6" s="5" t="str">
        <f t="shared" si="1"/>
        <v>US</v>
      </c>
      <c r="J6" s="5" t="str">
        <f t="shared" si="2"/>
        <v>MAY</v>
      </c>
      <c r="M6" s="8" t="s">
        <v>95</v>
      </c>
      <c r="N6" s="10">
        <f>SUM(D2:D35)</f>
        <v>10100</v>
      </c>
      <c r="Q6" s="8" t="s">
        <v>111</v>
      </c>
      <c r="R6" s="8" t="s">
        <v>114</v>
      </c>
    </row>
    <row r="7" spans="1:22" ht="15.75" customHeight="1" x14ac:dyDescent="0.2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G7" s="4" t="str" cm="1">
        <f t="array" ref="G7">_xlfn.IFS(D7&gt;=500, "High Price",D7&lt;500, "Standard Price")</f>
        <v>Standard Price</v>
      </c>
      <c r="H7" s="5" t="str">
        <f t="shared" si="0"/>
        <v>07</v>
      </c>
      <c r="I7" s="5" t="str">
        <f t="shared" si="1"/>
        <v>UK</v>
      </c>
      <c r="J7" s="5" t="str">
        <f t="shared" si="2"/>
        <v>JUN</v>
      </c>
      <c r="Q7" s="8" t="s">
        <v>112</v>
      </c>
      <c r="R7" s="9" t="s">
        <v>113</v>
      </c>
      <c r="U7" s="11" t="s">
        <v>122</v>
      </c>
      <c r="V7" s="11"/>
    </row>
    <row r="8" spans="1:22" ht="15.75" customHeight="1" x14ac:dyDescent="0.2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s="4" t="str" cm="1">
        <f t="array" ref="G8">_xlfn.IFS(D8&gt;=500, "High Price",D8&lt;500, "Standard Price")</f>
        <v>Standard Price</v>
      </c>
      <c r="H8" s="5" t="str">
        <f t="shared" si="0"/>
        <v>19</v>
      </c>
      <c r="I8" s="5" t="str">
        <f t="shared" si="1"/>
        <v>UK</v>
      </c>
      <c r="J8" s="5" t="str">
        <f t="shared" si="2"/>
        <v>JUL</v>
      </c>
      <c r="M8" s="11" t="s">
        <v>97</v>
      </c>
      <c r="N8" s="11"/>
      <c r="U8" s="8" t="s">
        <v>94</v>
      </c>
      <c r="V8" s="8" t="s">
        <v>125</v>
      </c>
    </row>
    <row r="9" spans="1:22" ht="15.75" customHeight="1" x14ac:dyDescent="0.2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4" t="str" cm="1">
        <f t="array" ref="G9">_xlfn.IFS(D9&gt;=500, "High Price",D9&lt;500, "Standard Price")</f>
        <v>Standard Price</v>
      </c>
      <c r="H9" s="5" t="str">
        <f t="shared" si="0"/>
        <v>23</v>
      </c>
      <c r="I9" s="5" t="str">
        <f t="shared" si="1"/>
        <v>UK</v>
      </c>
      <c r="J9" s="5" t="str">
        <f t="shared" si="2"/>
        <v>AUG</v>
      </c>
      <c r="M9" s="8" t="s">
        <v>94</v>
      </c>
      <c r="N9" s="8" t="s">
        <v>98</v>
      </c>
    </row>
    <row r="10" spans="1:22" ht="15.75" customHeight="1" x14ac:dyDescent="0.2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4" t="str" cm="1">
        <f t="array" ref="G10">_xlfn.IFS(D10&gt;=500, "High Price",D10&lt;500, "Standard Price")</f>
        <v>High Price</v>
      </c>
      <c r="H10" s="5" t="str">
        <f t="shared" si="0"/>
        <v>05</v>
      </c>
      <c r="I10" s="5" t="str">
        <f t="shared" si="1"/>
        <v>UK</v>
      </c>
      <c r="J10" s="5" t="str">
        <f t="shared" si="2"/>
        <v>SEP</v>
      </c>
      <c r="M10" s="8" t="s">
        <v>95</v>
      </c>
      <c r="N10" s="9">
        <f>COUNTA(B2:B35)</f>
        <v>34</v>
      </c>
      <c r="U10" s="11" t="s">
        <v>123</v>
      </c>
      <c r="V10" s="11"/>
    </row>
    <row r="11" spans="1:22" ht="15.75" customHeight="1" x14ac:dyDescent="0.2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G11" s="4" t="str" cm="1">
        <f t="array" ref="G11">_xlfn.IFS(D11&gt;=500, "High Price",D11&lt;500, "Standard Price")</f>
        <v>Standard Price</v>
      </c>
      <c r="H11" s="5" t="str">
        <f t="shared" si="0"/>
        <v>14</v>
      </c>
      <c r="I11" s="5" t="str">
        <f t="shared" si="1"/>
        <v>UK</v>
      </c>
      <c r="J11" s="5" t="str">
        <f t="shared" si="2"/>
        <v>OCT</v>
      </c>
      <c r="U11" s="8" t="s">
        <v>94</v>
      </c>
      <c r="V11" s="8" t="s">
        <v>128</v>
      </c>
    </row>
    <row r="12" spans="1:22" ht="15.75" customHeight="1" x14ac:dyDescent="0.2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G12" s="4" t="str" cm="1">
        <f t="array" ref="G12">_xlfn.IFS(D12&gt;=500, "High Price",D12&lt;500, "Standard Price")</f>
        <v>High Price</v>
      </c>
      <c r="H12" s="5" t="str">
        <f t="shared" si="0"/>
        <v>17</v>
      </c>
      <c r="I12" s="5" t="str">
        <f t="shared" si="1"/>
        <v>IN</v>
      </c>
      <c r="J12" s="5" t="str">
        <f t="shared" si="2"/>
        <v>JUN</v>
      </c>
      <c r="M12" s="11" t="s">
        <v>99</v>
      </c>
      <c r="N12" s="11"/>
    </row>
    <row r="13" spans="1:22" ht="15.75" customHeight="1" x14ac:dyDescent="0.2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G13" s="4" t="str" cm="1">
        <f t="array" ref="G13">_xlfn.IFS(D13&gt;=500, "High Price",D13&lt;500, "Standard Price")</f>
        <v>Standard Price</v>
      </c>
      <c r="H13" s="5" t="str">
        <f t="shared" si="0"/>
        <v>25</v>
      </c>
      <c r="I13" s="5" t="str">
        <f t="shared" si="1"/>
        <v>AU</v>
      </c>
      <c r="J13" s="5" t="str">
        <f t="shared" si="2"/>
        <v>NOV</v>
      </c>
      <c r="M13" s="8" t="s">
        <v>94</v>
      </c>
      <c r="N13" s="8" t="s">
        <v>100</v>
      </c>
    </row>
    <row r="14" spans="1:22" ht="15.75" customHeight="1" x14ac:dyDescent="0.2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G14" s="4" t="str" cm="1">
        <f t="array" ref="G14">_xlfn.IFS(D14&gt;=500, "High Price",D14&lt;500, "Standard Price")</f>
        <v>Standard Price</v>
      </c>
      <c r="H14" s="5" t="str">
        <f t="shared" si="0"/>
        <v>08</v>
      </c>
      <c r="I14" s="5" t="str">
        <f t="shared" si="1"/>
        <v>DE</v>
      </c>
      <c r="J14" s="5" t="str">
        <f t="shared" si="2"/>
        <v>DEC</v>
      </c>
      <c r="M14" s="8" t="s">
        <v>95</v>
      </c>
      <c r="N14" s="10">
        <f>AVERAGE(D2:D35)</f>
        <v>297.05882352941177</v>
      </c>
    </row>
    <row r="15" spans="1:22" ht="15.75" customHeight="1" x14ac:dyDescent="0.2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G15" s="4" t="str" cm="1">
        <f t="array" ref="G15">_xlfn.IFS(D15&gt;=500, "High Price",D15&lt;500, "Standard Price")</f>
        <v>Standard Price</v>
      </c>
      <c r="H15" s="5" t="str">
        <f t="shared" si="0"/>
        <v>18</v>
      </c>
      <c r="I15" s="5" t="str">
        <f t="shared" si="1"/>
        <v>CA</v>
      </c>
      <c r="J15" s="5" t="str">
        <f t="shared" si="2"/>
        <v>FEB</v>
      </c>
    </row>
    <row r="16" spans="1:22" ht="15.75" customHeight="1" x14ac:dyDescent="0.2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G16" s="4" t="str" cm="1">
        <f t="array" ref="G16">_xlfn.IFS(D16&gt;=500, "High Price",D16&lt;500, "Standard Price")</f>
        <v>Standard Price</v>
      </c>
      <c r="H16" s="5" t="str">
        <f t="shared" si="0"/>
        <v>16</v>
      </c>
      <c r="I16" s="5" t="str">
        <f t="shared" si="1"/>
        <v>ES</v>
      </c>
      <c r="J16" s="5" t="str">
        <f t="shared" si="2"/>
        <v>APR</v>
      </c>
    </row>
    <row r="17" spans="1:18" ht="15.75" customHeight="1" x14ac:dyDescent="0.2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G17" s="4" t="str" cm="1">
        <f t="array" ref="G17">_xlfn.IFS(D17&gt;=500, "High Price",D17&lt;500, "Standard Price")</f>
        <v>Standard Price</v>
      </c>
      <c r="H17" s="5" t="str">
        <f t="shared" si="0"/>
        <v>21</v>
      </c>
      <c r="I17" s="5" t="str">
        <f t="shared" si="1"/>
        <v>CA</v>
      </c>
      <c r="J17" s="5" t="str">
        <f t="shared" si="2"/>
        <v>AUG</v>
      </c>
      <c r="M17" s="7" t="s">
        <v>102</v>
      </c>
      <c r="Q17" s="7" t="s">
        <v>115</v>
      </c>
    </row>
    <row r="18" spans="1:18" ht="15.75" customHeight="1" x14ac:dyDescent="0.2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  <c r="G18" s="4" t="str" cm="1">
        <f t="array" ref="G18">_xlfn.IFS(D18&gt;=500, "High Price",D18&lt;500, "Standard Price")</f>
        <v>Standard Price</v>
      </c>
      <c r="H18" s="5" t="str">
        <f t="shared" si="0"/>
        <v>20</v>
      </c>
      <c r="I18" s="5" t="str">
        <f t="shared" si="1"/>
        <v>CN</v>
      </c>
      <c r="J18" s="5" t="str">
        <f t="shared" si="2"/>
        <v>AUG</v>
      </c>
    </row>
    <row r="19" spans="1:18" ht="15.75" customHeight="1" x14ac:dyDescent="0.2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  <c r="G19" s="4" t="str" cm="1">
        <f t="array" ref="G19">_xlfn.IFS(D19&gt;=500, "High Price",D19&lt;500, "Standard Price")</f>
        <v>High Price</v>
      </c>
      <c r="H19" s="5" t="str">
        <f t="shared" si="0"/>
        <v>27</v>
      </c>
      <c r="I19" s="5" t="str">
        <f t="shared" si="1"/>
        <v>IT</v>
      </c>
      <c r="J19" s="5" t="str">
        <f t="shared" si="2"/>
        <v>JAN</v>
      </c>
      <c r="M19" s="11" t="s">
        <v>103</v>
      </c>
      <c r="N19" s="11"/>
      <c r="Q19" s="11" t="s">
        <v>116</v>
      </c>
      <c r="R19" s="11"/>
    </row>
    <row r="20" spans="1:18" ht="15.75" customHeight="1" x14ac:dyDescent="0.2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  <c r="G20" s="4" t="str" cm="1">
        <f t="array" ref="G20">_xlfn.IFS(D20&gt;=500, "High Price",D20&lt;500, "Standard Price")</f>
        <v>Standard Price</v>
      </c>
      <c r="H20" s="5" t="str">
        <f t="shared" si="0"/>
        <v>01</v>
      </c>
      <c r="I20" s="5" t="str">
        <f t="shared" si="1"/>
        <v>UK</v>
      </c>
      <c r="J20" s="5" t="str">
        <f t="shared" si="2"/>
        <v>MAR</v>
      </c>
      <c r="M20" s="8" t="s">
        <v>94</v>
      </c>
      <c r="N20" s="8" t="s">
        <v>105</v>
      </c>
      <c r="Q20" s="8" t="s">
        <v>94</v>
      </c>
      <c r="R20" s="8" t="s">
        <v>117</v>
      </c>
    </row>
    <row r="21" spans="1:18" ht="15.75" customHeight="1" x14ac:dyDescent="0.2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  <c r="G21" s="4" t="str" cm="1">
        <f t="array" ref="G21">_xlfn.IFS(D21&gt;=500, "High Price",D21&lt;500, "Standard Price")</f>
        <v>Standard Price</v>
      </c>
      <c r="H21" s="5" t="str">
        <f t="shared" si="0"/>
        <v>14</v>
      </c>
      <c r="I21" s="5" t="str">
        <f t="shared" si="1"/>
        <v>US</v>
      </c>
      <c r="J21" s="5" t="str">
        <f t="shared" si="2"/>
        <v>AUG</v>
      </c>
      <c r="M21" s="8" t="s">
        <v>95</v>
      </c>
      <c r="N21" s="10">
        <f>MIN(D2:D35)</f>
        <v>30</v>
      </c>
      <c r="Q21" s="8" t="s">
        <v>95</v>
      </c>
      <c r="R21" s="10">
        <f>SUMIF(F2:F35,"Electronics",D2:D35)</f>
        <v>8050</v>
      </c>
    </row>
    <row r="22" spans="1:18" ht="15.75" customHeight="1" x14ac:dyDescent="0.2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  <c r="G22" s="4" t="str" cm="1">
        <f t="array" ref="G22">_xlfn.IFS(D22&gt;=500, "High Price",D22&lt;500, "Standard Price")</f>
        <v>High Price</v>
      </c>
      <c r="H22" s="5" t="str">
        <f t="shared" si="0"/>
        <v>14</v>
      </c>
      <c r="I22" s="5" t="str">
        <f t="shared" si="1"/>
        <v>RU</v>
      </c>
      <c r="J22" s="5" t="str">
        <f t="shared" si="2"/>
        <v>MAY</v>
      </c>
    </row>
    <row r="23" spans="1:18" ht="15.75" customHeight="1" x14ac:dyDescent="0.2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  <c r="G23" s="4" t="str" cm="1">
        <f t="array" ref="G23">_xlfn.IFS(D23&gt;=500, "High Price",D23&lt;500, "Standard Price")</f>
        <v>Standard Price</v>
      </c>
      <c r="H23" s="5" t="str">
        <f t="shared" si="0"/>
        <v>09</v>
      </c>
      <c r="I23" s="5" t="str">
        <f t="shared" si="1"/>
        <v>CA</v>
      </c>
      <c r="J23" s="5" t="str">
        <f t="shared" si="2"/>
        <v>JAN</v>
      </c>
      <c r="M23" s="11" t="s">
        <v>104</v>
      </c>
      <c r="N23" s="11"/>
      <c r="Q23" s="11" t="s">
        <v>118</v>
      </c>
      <c r="R23" s="11"/>
    </row>
    <row r="24" spans="1:18" ht="15.75" customHeight="1" x14ac:dyDescent="0.2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  <c r="G24" s="4" t="str" cm="1">
        <f t="array" ref="G24">_xlfn.IFS(D24&gt;=500, "High Price",D24&lt;500, "Standard Price")</f>
        <v>Standard Price</v>
      </c>
      <c r="H24" s="5" t="str">
        <f t="shared" si="0"/>
        <v>19</v>
      </c>
      <c r="I24" s="5" t="str">
        <f t="shared" si="1"/>
        <v>BR</v>
      </c>
      <c r="J24" s="5" t="str">
        <f t="shared" si="2"/>
        <v>JUL</v>
      </c>
      <c r="M24" s="8" t="s">
        <v>94</v>
      </c>
      <c r="N24" s="8" t="s">
        <v>106</v>
      </c>
      <c r="Q24" s="8" t="s">
        <v>94</v>
      </c>
      <c r="R24" s="8" t="s">
        <v>119</v>
      </c>
    </row>
    <row r="25" spans="1:18" ht="15.75" customHeight="1" x14ac:dyDescent="0.2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  <c r="G25" s="4" t="str" cm="1">
        <f t="array" ref="G25">_xlfn.IFS(D25&gt;=500, "High Price",D25&lt;500, "Standard Price")</f>
        <v>Standard Price</v>
      </c>
      <c r="H25" s="5" t="str">
        <f t="shared" si="0"/>
        <v>21</v>
      </c>
      <c r="I25" s="5" t="str">
        <f t="shared" si="1"/>
        <v>CA</v>
      </c>
      <c r="J25" s="5" t="str">
        <f t="shared" si="2"/>
        <v>AUG</v>
      </c>
      <c r="M25" s="8" t="s">
        <v>95</v>
      </c>
      <c r="N25" s="10">
        <f>MAX(D2:D35)</f>
        <v>1000</v>
      </c>
      <c r="Q25" s="8" t="s">
        <v>95</v>
      </c>
      <c r="R25" s="12">
        <f>COUNTIF(D2:D35,"&lt;100")</f>
        <v>11</v>
      </c>
    </row>
    <row r="26" spans="1:18" ht="15.75" customHeight="1" x14ac:dyDescent="0.2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  <c r="G26" s="4" t="str" cm="1">
        <f t="array" ref="G26">_xlfn.IFS(D26&gt;=500, "High Price",D26&lt;500, "Standard Price")</f>
        <v>High Price</v>
      </c>
      <c r="H26" s="5" t="str">
        <f t="shared" si="0"/>
        <v>29</v>
      </c>
      <c r="I26" s="5" t="str">
        <f t="shared" si="1"/>
        <v>CA</v>
      </c>
      <c r="J26" s="5" t="str">
        <f t="shared" si="2"/>
        <v>SEP</v>
      </c>
    </row>
    <row r="27" spans="1:18" ht="15.75" customHeight="1" x14ac:dyDescent="0.2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  <c r="G27" s="4" t="str" cm="1">
        <f t="array" ref="G27">_xlfn.IFS(D27&gt;=500, "High Price",D27&lt;500, "Standard Price")</f>
        <v>Standard Price</v>
      </c>
      <c r="H27" s="5" t="str">
        <f t="shared" si="0"/>
        <v>03</v>
      </c>
      <c r="I27" s="5" t="str">
        <f t="shared" si="1"/>
        <v>CA</v>
      </c>
      <c r="J27" s="5" t="str">
        <f t="shared" si="2"/>
        <v>JUN</v>
      </c>
    </row>
    <row r="28" spans="1:18" ht="15.75" customHeight="1" x14ac:dyDescent="0.2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  <c r="G28" s="4" t="str" cm="1">
        <f t="array" ref="G28">_xlfn.IFS(D28&gt;=500, "High Price",D28&lt;500, "Standard Price")</f>
        <v>Standard Price</v>
      </c>
      <c r="H28" s="5" t="str">
        <f t="shared" si="0"/>
        <v>11</v>
      </c>
      <c r="I28" s="5" t="str">
        <f t="shared" si="1"/>
        <v>CA</v>
      </c>
      <c r="J28" s="5" t="str">
        <f t="shared" si="2"/>
        <v>JUL</v>
      </c>
    </row>
    <row r="29" spans="1:18" ht="15.75" customHeight="1" x14ac:dyDescent="0.2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  <c r="G29" s="4" t="str" cm="1">
        <f t="array" ref="G29">_xlfn.IFS(D29&gt;=500, "High Price",D29&lt;500, "Standard Price")</f>
        <v>Standard Price</v>
      </c>
      <c r="H29" s="5" t="str">
        <f t="shared" si="0"/>
        <v>16</v>
      </c>
      <c r="I29" s="5" t="str">
        <f t="shared" si="1"/>
        <v>ES</v>
      </c>
      <c r="J29" s="5" t="str">
        <f t="shared" si="2"/>
        <v>APR</v>
      </c>
    </row>
    <row r="30" spans="1:18" ht="15.75" customHeight="1" x14ac:dyDescent="0.2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  <c r="G30" s="4" t="str" cm="1">
        <f t="array" ref="G30">_xlfn.IFS(D30&gt;=500, "High Price",D30&lt;500, "Standard Price")</f>
        <v>Standard Price</v>
      </c>
      <c r="H30" s="5" t="str">
        <f t="shared" si="0"/>
        <v>07</v>
      </c>
      <c r="I30" s="5" t="str">
        <f t="shared" si="1"/>
        <v>CA</v>
      </c>
      <c r="J30" s="5" t="str">
        <f t="shared" si="2"/>
        <v>MAR</v>
      </c>
    </row>
    <row r="31" spans="1:18" ht="15.75" customHeight="1" x14ac:dyDescent="0.2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  <c r="G31" s="4" t="str" cm="1">
        <f t="array" ref="G31">_xlfn.IFS(D31&gt;=500, "High Price",D31&lt;500, "Standard Price")</f>
        <v>Standard Price</v>
      </c>
      <c r="H31" s="5" t="str">
        <f t="shared" si="0"/>
        <v>13</v>
      </c>
      <c r="I31" s="5" t="str">
        <f t="shared" si="1"/>
        <v>CA</v>
      </c>
      <c r="J31" s="5" t="str">
        <f t="shared" si="2"/>
        <v>APR</v>
      </c>
    </row>
    <row r="32" spans="1:18" ht="15.75" customHeight="1" x14ac:dyDescent="0.2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  <c r="G32" s="4" t="str" cm="1">
        <f t="array" ref="G32">_xlfn.IFS(D32&gt;=500, "High Price",D32&lt;500, "Standard Price")</f>
        <v>Standard Price</v>
      </c>
      <c r="H32" s="5" t="str">
        <f t="shared" si="0"/>
        <v>24</v>
      </c>
      <c r="I32" s="5" t="str">
        <f t="shared" si="1"/>
        <v>CA</v>
      </c>
      <c r="J32" s="5" t="str">
        <f t="shared" si="2"/>
        <v>MAY</v>
      </c>
    </row>
    <row r="33" spans="1:10" ht="15.75" customHeight="1" x14ac:dyDescent="0.2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  <c r="G33" s="4" t="str" cm="1">
        <f t="array" ref="G33">_xlfn.IFS(D33&gt;=500, "High Price",D33&lt;500, "Standard Price")</f>
        <v>Standard Price</v>
      </c>
      <c r="H33" s="5" t="str">
        <f t="shared" si="0"/>
        <v>02</v>
      </c>
      <c r="I33" s="5" t="str">
        <f t="shared" si="1"/>
        <v>CA</v>
      </c>
      <c r="J33" s="5" t="str">
        <f t="shared" si="2"/>
        <v>DEC</v>
      </c>
    </row>
    <row r="34" spans="1:10" ht="15.75" customHeight="1" x14ac:dyDescent="0.2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  <c r="G34" s="4" t="str" cm="1">
        <f t="array" ref="G34">_xlfn.IFS(D34&gt;=500, "High Price",D34&lt;500, "Standard Price")</f>
        <v>High Price</v>
      </c>
      <c r="H34" s="5" t="str">
        <f t="shared" si="0"/>
        <v>17</v>
      </c>
      <c r="I34" s="5" t="str">
        <f t="shared" si="1"/>
        <v>IN</v>
      </c>
      <c r="J34" s="5" t="str">
        <f t="shared" si="2"/>
        <v>JUN</v>
      </c>
    </row>
    <row r="35" spans="1:10" ht="15.75" customHeight="1" x14ac:dyDescent="0.2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  <c r="G35" s="4" t="str" cm="1">
        <f t="array" ref="G35">_xlfn.IFS(D35&gt;=500, "High Price",D35&lt;500, "Standard Price")</f>
        <v>Standard Price</v>
      </c>
      <c r="H35" s="5" t="str">
        <f t="shared" si="0"/>
        <v>09</v>
      </c>
      <c r="I35" s="5" t="str">
        <f t="shared" si="1"/>
        <v>FR</v>
      </c>
      <c r="J35" s="5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5" xr:uid="{00000000-0001-0000-0000-000000000000}"/>
  <mergeCells count="12">
    <mergeCell ref="M12:N12"/>
    <mergeCell ref="M19:N19"/>
    <mergeCell ref="M23:N23"/>
    <mergeCell ref="Q5:R5"/>
    <mergeCell ref="Q4:R4"/>
    <mergeCell ref="Q19:R19"/>
    <mergeCell ref="Q23:R23"/>
    <mergeCell ref="U4:V4"/>
    <mergeCell ref="U7:V7"/>
    <mergeCell ref="U10:V10"/>
    <mergeCell ref="M4:N4"/>
    <mergeCell ref="M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 Kumar</cp:lastModifiedBy>
  <dcterms:modified xsi:type="dcterms:W3CDTF">2026-05-24T03:59:25Z</dcterms:modified>
</cp:coreProperties>
</file>